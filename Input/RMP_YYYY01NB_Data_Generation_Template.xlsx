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94011abe5cbea44/HKMC_BUDGET_ENHANCEMENT/MIP/Excel_VBA/RMP/Input/"/>
    </mc:Choice>
  </mc:AlternateContent>
  <xr:revisionPtr revIDLastSave="50" documentId="8_{CAE76C4C-9110-422A-AA22-36A04F2FD5AD}" xr6:coauthVersionLast="47" xr6:coauthVersionMax="47" xr10:uidLastSave="{C2950702-A597-44C4-BD21-2D5678F6985A}"/>
  <bookViews>
    <workbookView xWindow="-110" yWindow="-110" windowWidth="19420" windowHeight="11500" xr2:uid="{4B658887-35AF-427D-97DC-6EDD340359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1" l="1"/>
  <c r="M10" i="1"/>
  <c r="M9" i="1"/>
  <c r="M8" i="1"/>
  <c r="M7" i="1"/>
  <c r="M6" i="1"/>
  <c r="M5" i="1"/>
  <c r="M4" i="1"/>
  <c r="L11" i="1"/>
  <c r="L10" i="1"/>
  <c r="L9" i="1"/>
  <c r="L8" i="1"/>
  <c r="L7" i="1"/>
  <c r="L6" i="1"/>
  <c r="L5" i="1"/>
  <c r="L4" i="1"/>
  <c r="L3" i="1"/>
  <c r="K9" i="1"/>
  <c r="K11" i="1"/>
  <c r="K10" i="1"/>
  <c r="K8" i="1"/>
  <c r="K7" i="1"/>
  <c r="K6" i="1"/>
  <c r="K5" i="1"/>
  <c r="K4" i="1"/>
  <c r="K3" i="1"/>
  <c r="J11" i="1"/>
  <c r="J10" i="1"/>
  <c r="J9" i="1"/>
  <c r="J8" i="1"/>
  <c r="J7" i="1"/>
  <c r="J6" i="1"/>
  <c r="J5" i="1"/>
  <c r="J4" i="1"/>
  <c r="J3" i="1"/>
  <c r="I11" i="1"/>
  <c r="I10" i="1"/>
  <c r="I9" i="1"/>
  <c r="I8" i="1"/>
  <c r="I7" i="1"/>
  <c r="I6" i="1"/>
  <c r="I5" i="1"/>
  <c r="I4" i="1"/>
  <c r="I3" i="1"/>
  <c r="H11" i="1"/>
  <c r="H10" i="1"/>
  <c r="H9" i="1"/>
  <c r="H8" i="1"/>
  <c r="H7" i="1"/>
  <c r="H6" i="1"/>
  <c r="H5" i="1"/>
  <c r="H4" i="1"/>
  <c r="H3" i="1"/>
  <c r="G11" i="1"/>
  <c r="G10" i="1"/>
  <c r="G9" i="1"/>
  <c r="G8" i="1"/>
  <c r="G7" i="1"/>
  <c r="G6" i="1"/>
  <c r="G5" i="1"/>
  <c r="G4" i="1"/>
  <c r="G3" i="1"/>
  <c r="F11" i="1"/>
  <c r="F10" i="1"/>
  <c r="F9" i="1"/>
  <c r="F8" i="1"/>
  <c r="F7" i="1"/>
  <c r="F6" i="1"/>
  <c r="F5" i="1"/>
  <c r="F4" i="1"/>
  <c r="F3" i="1"/>
  <c r="E11" i="1"/>
  <c r="D11" i="1"/>
  <c r="E10" i="1"/>
  <c r="E8" i="1"/>
  <c r="E3" i="1"/>
  <c r="E6" i="1"/>
  <c r="E4" i="1"/>
  <c r="D7" i="1"/>
  <c r="D5" i="1"/>
  <c r="D3" i="1"/>
  <c r="B11" i="1"/>
  <c r="A11" i="1"/>
  <c r="B10" i="1"/>
  <c r="A10" i="1"/>
  <c r="B9" i="1"/>
  <c r="A9" i="1"/>
  <c r="B8" i="1"/>
  <c r="A8" i="1"/>
  <c r="B7" i="1"/>
  <c r="A7" i="1"/>
  <c r="B6" i="1"/>
  <c r="A6" i="1"/>
  <c r="B5" i="1"/>
  <c r="A5" i="1"/>
  <c r="C10" i="1"/>
  <c r="C9" i="1"/>
  <c r="C8" i="1"/>
  <c r="C7" i="1"/>
  <c r="C6" i="1"/>
  <c r="C5" i="1"/>
  <c r="C4" i="1"/>
  <c r="C3" i="1"/>
  <c r="B4" i="1"/>
  <c r="B3" i="1"/>
  <c r="A4" i="1"/>
  <c r="A3" i="1"/>
</calcChain>
</file>

<file path=xl/sharedStrings.xml><?xml version="1.0" encoding="utf-8"?>
<sst xmlns="http://schemas.openxmlformats.org/spreadsheetml/2006/main" count="35" uniqueCount="35">
  <si>
    <t>RM_NO</t>
  </si>
  <si>
    <t>ACTUAL_CLOSING_DT</t>
  </si>
  <si>
    <t>AGE_AT_CLOSING_BWR1</t>
  </si>
  <si>
    <t>AGE_AT_CLOSING_BWR2</t>
  </si>
  <si>
    <t>AGE_AT_CLOSING_BWR3</t>
  </si>
  <si>
    <t>GENDER</t>
  </si>
  <si>
    <t>CURR_PAYM_PLAN</t>
  </si>
  <si>
    <t>FIXED_PERIOD</t>
  </si>
  <si>
    <t>INT_RATE_INDEX_AFTER_FIXED</t>
  </si>
  <si>
    <t>INT_RATE_SPRD_AFTER_FIXED</t>
  </si>
  <si>
    <t>LUMP_SUM_AMT</t>
  </si>
  <si>
    <t>CURR_MTH_PAYOUT_AMT</t>
  </si>
  <si>
    <t>ENDING_OPB_AT_TODAY</t>
  </si>
  <si>
    <t>TOTAL_FINAN_FEE</t>
  </si>
  <si>
    <t>CMV</t>
  </si>
  <si>
    <t>CURR_SPECIFIED_PROP_VALUE</t>
  </si>
  <si>
    <t>CURR_GROSS_MORT_RATE</t>
  </si>
  <si>
    <t>INT_RATE_OPTION</t>
  </si>
  <si>
    <t>UNFRONT_PREM_RATE</t>
  </si>
  <si>
    <t>MTH_PREM_RATE</t>
  </si>
  <si>
    <t>REINSURER_CODE</t>
  </si>
  <si>
    <t>RISK_RETENTION_PERC</t>
  </si>
  <si>
    <t>HMML</t>
  </si>
  <si>
    <t>UPFRONT_PREM_AMT</t>
  </si>
  <si>
    <t>UPD_USER</t>
  </si>
  <si>
    <t>UPD_DT</t>
  </si>
  <si>
    <t>IFRS_INTF_USER</t>
  </si>
  <si>
    <t>Y</t>
  </si>
  <si>
    <t>N</t>
  </si>
  <si>
    <t>FX</t>
  </si>
  <si>
    <t>FL</t>
  </si>
  <si>
    <t>PR</t>
  </si>
  <si>
    <t>M</t>
  </si>
  <si>
    <t>RM00006666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</si>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</sst>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5" fontId="0" fillId="0" borderId="0" xfId="0" applyNumberFormat="1"/>
    <xf numFmtId="43" fontId="0" fillId="0" borderId="0" xfId="1" applyFont="1"/>
    <xf numFmtId="0" fontId="2" fillId="2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83338-42D6-4CF7-AEB9-F025E0C02DC6}">
  <sheetPr codeName="Sheet1"/>
  <dimension ref="A1:Z11"/>
  <sheetViews>
    <sheetView tabSelected="1" workbookViewId="0">
      <pane ySplit="1" topLeftCell="A2" activePane="bottomLeft" state="frozen"/>
      <selection pane="bottomLeft" activeCell="M4" sqref="M4:M11"/>
    </sheetView>
  </sheetViews>
  <sheetFormatPr defaultRowHeight="14.5" x14ac:dyDescent="0.35"/>
  <cols>
    <col min="11" max="11" width="10.81640625" bestFit="1" customWidth="1"/>
  </cols>
  <sheetData>
    <row r="1" spans="1:26" s="3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26" x14ac:dyDescent="0.35">
      <c r="A2" t="s">
        <v>33</v>
      </c>
      <c r="B2">
        <v>20240110</v>
      </c>
      <c r="C2">
        <v>67.311000000000007</v>
      </c>
      <c r="F2" t="s">
        <v>32</v>
      </c>
      <c r="G2">
        <v>10</v>
      </c>
      <c r="H2">
        <v>300</v>
      </c>
      <c r="I2" t="s">
        <v>31</v>
      </c>
      <c r="J2">
        <v>-2.5</v>
      </c>
      <c r="K2">
        <v>900000</v>
      </c>
      <c r="L2">
        <v>4340.75</v>
      </c>
      <c r="M2">
        <v>915531.28</v>
      </c>
      <c r="N2">
        <v>8100</v>
      </c>
      <c r="O2">
        <v>2820000</v>
      </c>
      <c r="P2">
        <v>2820000</v>
      </c>
      <c r="Q2">
        <v>4</v>
      </c>
      <c r="R2" t="s">
        <v>29</v>
      </c>
      <c r="S2">
        <v>0.28000000000000003</v>
      </c>
      <c r="T2">
        <v>1.25</v>
      </c>
      <c r="W2" t="s">
        <v>27</v>
      </c>
      <c r="X2">
        <v>55272</v>
      </c>
      <c r="Y2" t="s">
        <v>26</v>
      </c>
      <c r="Z2" s="1">
        <v>45325</v>
      </c>
    </row>
    <row r="3" spans="1:26" x14ac:dyDescent="0.35">
      <c r="A3" t="str">
        <f ca="1">"RM0000"&amp;RANDBETWEEN(1000,9999)</f>
        <v>RM00009090</v>
      </c>
      <c r="B3" t="str">
        <f ca="1">TEXT(RANDBETWEEN(2023,2024),"0000") &amp; TEXT(RANDBETWEEN(1,12),"00") &amp; TEXT(RANDBETWEEN(1,28),"00")</f>
        <v>20230306</v>
      </c>
      <c r="C3" s="2">
        <f ca="1">RANDBETWEEN(3000,10000)/100</f>
        <v>69.34</v>
      </c>
      <c r="D3" s="2">
        <f ca="1">RANDBETWEEN(3000,10000)/100</f>
        <v>65.72</v>
      </c>
      <c r="E3" s="2">
        <f ca="1">RANDBETWEEN(3000,10000)/100</f>
        <v>37.08</v>
      </c>
      <c r="F3" t="str">
        <f ca="1">CHOOSE(RANDBETWEEN(1,10), "M", "F", "MF","MFF","MM", "FF", "FM","FFF","FMF", "")</f>
        <v>MFF</v>
      </c>
      <c r="G3" s="2">
        <f ca="1">CHOOSE(RANDBETWEEN(1,4), 10, 15, 20, 99)</f>
        <v>20</v>
      </c>
      <c r="H3" s="2" t="str">
        <f ca="1">CHOOSE(RANDBETWEEN(1,2), 300, "")</f>
        <v/>
      </c>
      <c r="I3" s="2" t="str">
        <f ca="1">CHOOSE(RANDBETWEEN(1,2),"PR", "")</f>
        <v>PR</v>
      </c>
      <c r="J3" s="2">
        <f ca="1">CHOOSE(RANDBETWEEN(1,2),-2.5, "")</f>
        <v>-2.5</v>
      </c>
      <c r="K3">
        <f ca="1">CHOOSE(RANDBETWEEN(1,3),RANDBETWEEN(0,1600000000)/100,"",RANDBETWEEN(0,1600000000)/100)</f>
        <v>4007838.04</v>
      </c>
      <c r="L3">
        <f ca="1">RANDBETWEEN(0,1600000)/100</f>
        <v>10030</v>
      </c>
      <c r="M3">
        <v>19599.3</v>
      </c>
      <c r="N3">
        <v>0</v>
      </c>
      <c r="Q3">
        <v>3.625</v>
      </c>
      <c r="R3" t="s">
        <v>30</v>
      </c>
      <c r="W3" t="s">
        <v>28</v>
      </c>
    </row>
    <row r="4" spans="1:26" x14ac:dyDescent="0.35">
      <c r="A4" t="str">
        <f ca="1">"RM0000"&amp;RANDBETWEEN(1000,9999)</f>
        <v>RM00008944</v>
      </c>
      <c r="B4" t="str">
        <f ca="1">TEXT(RANDBETWEEN(2023,2024),"0000") &amp; TEXT(RANDBETWEEN(1,12),"00") &amp; TEXT(RANDBETWEEN(1,28),"00")</f>
        <v>20240825</v>
      </c>
      <c r="C4" s="2">
        <f t="shared" ref="C4:C10" ca="1" si="0">RANDBETWEEN(3000,10000)/100</f>
        <v>41.46</v>
      </c>
      <c r="E4" s="2">
        <f ca="1">RANDBETWEEN(3000,10000)/100</f>
        <v>82.36</v>
      </c>
      <c r="F4" t="str">
        <f t="shared" ref="F4:F11" ca="1" si="1">CHOOSE(RANDBETWEEN(1,10), "M", "F", "MF","MFF","MM", "FF", "FM","FFF","FMF", "")</f>
        <v>F</v>
      </c>
      <c r="G4" s="2">
        <f t="shared" ref="G4:G11" ca="1" si="2">CHOOSE(RANDBETWEEN(1,4), 10, 15, 20, 99)</f>
        <v>20</v>
      </c>
      <c r="H4" s="2" t="str">
        <f t="shared" ref="H4:H11" ca="1" si="3">CHOOSE(RANDBETWEEN(1,2), 300, "")</f>
        <v/>
      </c>
      <c r="I4" s="2" t="str">
        <f t="shared" ref="I4:I11" ca="1" si="4">CHOOSE(RANDBETWEEN(1,2),"PR", "")</f>
        <v/>
      </c>
      <c r="J4" s="2" t="str">
        <f t="shared" ref="J4:J11" ca="1" si="5">CHOOSE(RANDBETWEEN(1,2),-2.5, "")</f>
        <v/>
      </c>
      <c r="K4">
        <f t="shared" ref="K4:K11" ca="1" si="6">CHOOSE(RANDBETWEEN(1,3),RANDBETWEEN(0,1600000000)/100,"",RANDBETWEEN(0,1600000000)/100)</f>
        <v>1933319.62</v>
      </c>
      <c r="L4">
        <f t="shared" ref="L4:M11" ca="1" si="7">RANDBETWEEN(0,1600000)/100</f>
        <v>2322.27</v>
      </c>
      <c r="M4">
        <f ca="1">RANDBETWEEN(0,1600000)/100</f>
        <v>10428.16</v>
      </c>
    </row>
    <row r="5" spans="1:26" x14ac:dyDescent="0.35">
      <c r="A5" t="str">
        <f t="shared" ref="A5:A11" ca="1" si="8">"RM0000"&amp;RANDBETWEEN(1000,9999)</f>
        <v>RM00009981</v>
      </c>
      <c r="B5" t="str">
        <f t="shared" ref="B5:B11" ca="1" si="9">TEXT(RANDBETWEEN(2023,2024),"0000") &amp; TEXT(RANDBETWEEN(1,12),"00") &amp; TEXT(RANDBETWEEN(1,28),"00")</f>
        <v>20241003</v>
      </c>
      <c r="C5" s="2">
        <f t="shared" ca="1" si="0"/>
        <v>85.15</v>
      </c>
      <c r="D5" s="2">
        <f ca="1">RANDBETWEEN(3000,10000)/100</f>
        <v>79.36</v>
      </c>
      <c r="F5" t="str">
        <f t="shared" ca="1" si="1"/>
        <v>F</v>
      </c>
      <c r="G5" s="2">
        <f t="shared" ca="1" si="2"/>
        <v>99</v>
      </c>
      <c r="H5" s="2">
        <f t="shared" ca="1" si="3"/>
        <v>300</v>
      </c>
      <c r="I5" s="2" t="str">
        <f t="shared" ca="1" si="4"/>
        <v>PR</v>
      </c>
      <c r="J5" s="2">
        <f t="shared" ca="1" si="5"/>
        <v>-2.5</v>
      </c>
      <c r="K5">
        <f t="shared" ca="1" si="6"/>
        <v>14725976.4</v>
      </c>
      <c r="L5">
        <f t="shared" ca="1" si="7"/>
        <v>11540.83</v>
      </c>
      <c r="M5">
        <f t="shared" ca="1" si="7"/>
        <v>6753.17</v>
      </c>
    </row>
    <row r="6" spans="1:26" x14ac:dyDescent="0.35">
      <c r="A6" t="str">
        <f t="shared" ca="1" si="8"/>
        <v>RM00004100</v>
      </c>
      <c r="B6" t="str">
        <f t="shared" ca="1" si="9"/>
        <v>20240921</v>
      </c>
      <c r="C6" s="2">
        <f t="shared" ca="1" si="0"/>
        <v>96.45</v>
      </c>
      <c r="E6" s="2">
        <f ca="1">RANDBETWEEN(3000,10000)/100</f>
        <v>76.89</v>
      </c>
      <c r="F6" t="str">
        <f t="shared" ca="1" si="1"/>
        <v>M</v>
      </c>
      <c r="G6" s="2">
        <f t="shared" ca="1" si="2"/>
        <v>15</v>
      </c>
      <c r="H6" s="2" t="str">
        <f t="shared" ca="1" si="3"/>
        <v/>
      </c>
      <c r="I6" s="2" t="str">
        <f t="shared" ca="1" si="4"/>
        <v>PR</v>
      </c>
      <c r="J6" s="2">
        <f t="shared" ca="1" si="5"/>
        <v>-2.5</v>
      </c>
      <c r="K6">
        <f t="shared" ca="1" si="6"/>
        <v>3115985.45</v>
      </c>
      <c r="L6">
        <f t="shared" ca="1" si="7"/>
        <v>3177.63</v>
      </c>
      <c r="M6">
        <f t="shared" ca="1" si="7"/>
        <v>7663.51</v>
      </c>
    </row>
    <row r="7" spans="1:26" x14ac:dyDescent="0.35">
      <c r="A7" t="str">
        <f t="shared" ca="1" si="8"/>
        <v>RM00002916</v>
      </c>
      <c r="B7" t="str">
        <f t="shared" ca="1" si="9"/>
        <v>20241212</v>
      </c>
      <c r="C7" s="2">
        <f t="shared" ca="1" si="0"/>
        <v>85.22</v>
      </c>
      <c r="D7" s="2">
        <f ca="1">RANDBETWEEN(3000,10000)/100</f>
        <v>72.77</v>
      </c>
      <c r="F7" t="str">
        <f t="shared" ca="1" si="1"/>
        <v>MF</v>
      </c>
      <c r="G7" s="2">
        <f t="shared" ca="1" si="2"/>
        <v>20</v>
      </c>
      <c r="H7" s="2">
        <f t="shared" ca="1" si="3"/>
        <v>300</v>
      </c>
      <c r="I7" s="2" t="str">
        <f t="shared" ca="1" si="4"/>
        <v>PR</v>
      </c>
      <c r="J7" s="2">
        <f t="shared" ca="1" si="5"/>
        <v>-2.5</v>
      </c>
      <c r="K7">
        <f t="shared" ca="1" si="6"/>
        <v>8648188.7799999993</v>
      </c>
      <c r="L7">
        <f t="shared" ca="1" si="7"/>
        <v>5608.69</v>
      </c>
      <c r="M7">
        <f t="shared" ca="1" si="7"/>
        <v>13442.82</v>
      </c>
    </row>
    <row r="8" spans="1:26" x14ac:dyDescent="0.35">
      <c r="A8" t="str">
        <f t="shared" ca="1" si="8"/>
        <v>RM00009978</v>
      </c>
      <c r="B8" t="str">
        <f t="shared" ca="1" si="9"/>
        <v>20240216</v>
      </c>
      <c r="C8" s="2">
        <f t="shared" ca="1" si="0"/>
        <v>41.14</v>
      </c>
      <c r="E8" s="2">
        <f ca="1">RANDBETWEEN(3000,10000)/100</f>
        <v>55.8</v>
      </c>
      <c r="F8" t="str">
        <f t="shared" ca="1" si="1"/>
        <v>MM</v>
      </c>
      <c r="G8" s="2">
        <f t="shared" ca="1" si="2"/>
        <v>10</v>
      </c>
      <c r="H8" s="2" t="str">
        <f t="shared" ca="1" si="3"/>
        <v/>
      </c>
      <c r="I8" s="2" t="str">
        <f t="shared" ca="1" si="4"/>
        <v>PR</v>
      </c>
      <c r="J8" s="2">
        <f t="shared" ca="1" si="5"/>
        <v>-2.5</v>
      </c>
      <c r="K8" t="str">
        <f t="shared" ca="1" si="6"/>
        <v/>
      </c>
      <c r="L8">
        <f t="shared" ca="1" si="7"/>
        <v>10639.41</v>
      </c>
      <c r="M8">
        <f t="shared" ca="1" si="7"/>
        <v>9224.94</v>
      </c>
    </row>
    <row r="9" spans="1:26" x14ac:dyDescent="0.35">
      <c r="A9" t="str">
        <f t="shared" ca="1" si="8"/>
        <v>RM00009151</v>
      </c>
      <c r="B9" t="str">
        <f t="shared" ca="1" si="9"/>
        <v>20230222</v>
      </c>
      <c r="C9" s="2">
        <f t="shared" ca="1" si="0"/>
        <v>90.22</v>
      </c>
      <c r="F9" t="str">
        <f t="shared" ca="1" si="1"/>
        <v>FFF</v>
      </c>
      <c r="G9" s="2">
        <f t="shared" ca="1" si="2"/>
        <v>20</v>
      </c>
      <c r="H9" s="2">
        <f t="shared" ca="1" si="3"/>
        <v>300</v>
      </c>
      <c r="I9" s="2" t="str">
        <f t="shared" ca="1" si="4"/>
        <v/>
      </c>
      <c r="J9" s="2" t="str">
        <f t="shared" ca="1" si="5"/>
        <v/>
      </c>
      <c r="K9">
        <f t="shared" ca="1" si="6"/>
        <v>21533.07</v>
      </c>
      <c r="L9">
        <f t="shared" ca="1" si="7"/>
        <v>2639.19</v>
      </c>
      <c r="M9">
        <f t="shared" ca="1" si="7"/>
        <v>436.63</v>
      </c>
    </row>
    <row r="10" spans="1:26" x14ac:dyDescent="0.35">
      <c r="A10" t="str">
        <f t="shared" ca="1" si="8"/>
        <v>RM00003515</v>
      </c>
      <c r="B10" t="str">
        <f t="shared" ca="1" si="9"/>
        <v>20230923</v>
      </c>
      <c r="C10" s="2">
        <f t="shared" ca="1" si="0"/>
        <v>67.98</v>
      </c>
      <c r="E10" s="2">
        <f ca="1">RANDBETWEEN(3000,10000)/100</f>
        <v>64.489999999999995</v>
      </c>
      <c r="F10" t="str">
        <f t="shared" ca="1" si="1"/>
        <v>F</v>
      </c>
      <c r="G10" s="2">
        <f t="shared" ca="1" si="2"/>
        <v>99</v>
      </c>
      <c r="H10" s="2">
        <f t="shared" ca="1" si="3"/>
        <v>300</v>
      </c>
      <c r="I10" s="2" t="str">
        <f t="shared" ca="1" si="4"/>
        <v/>
      </c>
      <c r="J10" s="2" t="str">
        <f t="shared" ca="1" si="5"/>
        <v/>
      </c>
      <c r="K10">
        <f t="shared" ca="1" si="6"/>
        <v>4120889.47</v>
      </c>
      <c r="L10">
        <f t="shared" ca="1" si="7"/>
        <v>2090</v>
      </c>
      <c r="M10">
        <f t="shared" ca="1" si="7"/>
        <v>7121.37</v>
      </c>
    </row>
    <row r="11" spans="1:26" x14ac:dyDescent="0.35">
      <c r="A11" t="str">
        <f t="shared" ca="1" si="8"/>
        <v>RM00008375</v>
      </c>
      <c r="B11" t="str">
        <f t="shared" ca="1" si="9"/>
        <v>20240527</v>
      </c>
      <c r="C11" s="2" t="s">
        <v>34</v>
      </c>
      <c r="D11" s="2">
        <f ca="1">RANDBETWEEN(3000,10000)/100</f>
        <v>81.45</v>
      </c>
      <c r="E11" s="2">
        <f ca="1">RANDBETWEEN(3000,10000)/100</f>
        <v>56.44</v>
      </c>
      <c r="F11" t="str">
        <f t="shared" ca="1" si="1"/>
        <v>FMF</v>
      </c>
      <c r="G11" s="2">
        <f t="shared" ca="1" si="2"/>
        <v>20</v>
      </c>
      <c r="H11" s="2" t="str">
        <f t="shared" ca="1" si="3"/>
        <v/>
      </c>
      <c r="I11" s="2" t="str">
        <f t="shared" ca="1" si="4"/>
        <v/>
      </c>
      <c r="J11" s="2">
        <f t="shared" ca="1" si="5"/>
        <v>-2.5</v>
      </c>
      <c r="K11">
        <f t="shared" ca="1" si="6"/>
        <v>14304235.26</v>
      </c>
      <c r="L11">
        <f t="shared" ca="1" si="7"/>
        <v>48.27</v>
      </c>
      <c r="M11">
        <f t="shared" ca="1" si="7"/>
        <v>8231.92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FC HKMC IP</dc:creator>
  <cp:lastModifiedBy>Victor FC HKMC IP</cp:lastModifiedBy>
  <dcterms:created xsi:type="dcterms:W3CDTF">2026-01-02T08:06:09Z</dcterms:created>
  <dcterms:modified xsi:type="dcterms:W3CDTF">2026-01-02T09:28:54Z</dcterms:modified>
</cp:coreProperties>
</file>
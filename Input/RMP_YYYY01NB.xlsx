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011abe5cbea44/HKMC_BUDGET_ENHANCEMENT/MIP/Excel_VBA/RMP/Input/"/>
    </mc:Choice>
  </mc:AlternateContent>
  <xr:revisionPtr revIDLastSave="20" documentId="8_{936395CD-CA71-461C-B077-C09D284F89D2}" xr6:coauthVersionLast="47" xr6:coauthVersionMax="47" xr10:uidLastSave="{957849F4-E4B3-44B0-83CD-5B17B2C7C841}"/>
  <bookViews>
    <workbookView xWindow="-110" yWindow="-110" windowWidth="19420" windowHeight="11500" xr2:uid="{4B658887-35AF-427D-97DC-6EDD34035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A11" i="1"/>
  <c r="B10" i="1"/>
  <c r="A10" i="1"/>
  <c r="B9" i="1"/>
  <c r="A9" i="1"/>
  <c r="B8" i="1"/>
  <c r="A8" i="1"/>
  <c r="B7" i="1"/>
  <c r="A7" i="1"/>
  <c r="B6" i="1"/>
  <c r="A6" i="1"/>
  <c r="B5" i="1"/>
  <c r="A5" i="1"/>
  <c r="C10" i="1"/>
  <c r="C9" i="1"/>
  <c r="C8" i="1"/>
  <c r="C7" i="1"/>
  <c r="C6" i="1"/>
  <c r="C5" i="1"/>
  <c r="C4" i="1"/>
  <c r="C3" i="1"/>
  <c r="B4" i="1"/>
  <c r="B3" i="1"/>
  <c r="A4" i="1"/>
  <c r="A3" i="1"/>
</calcChain>
</file>

<file path=xl/sharedStrings.xml><?xml version="1.0" encoding="utf-8"?>
<sst xmlns="http://schemas.openxmlformats.org/spreadsheetml/2006/main" count="38" uniqueCount="38">
  <si>
    <t>RM_NO</t>
  </si>
  <si>
    <t>ACTUAL_CLOSING_DT</t>
  </si>
  <si>
    <t>AGE_AT_CLOSING_BWR1</t>
  </si>
  <si>
    <t>AGE_AT_CLOSING_BWR2</t>
  </si>
  <si>
    <t>AGE_AT_CLOSING_BWR3</t>
  </si>
  <si>
    <t>GENDER</t>
  </si>
  <si>
    <t>CURR_PAYM_PLAN</t>
  </si>
  <si>
    <t>FIXED_PERIOD</t>
  </si>
  <si>
    <t>INT_RATE_INDEX_AFTER_FIXED</t>
  </si>
  <si>
    <t>INT_RATE_SPRD_AFTER_FIXED</t>
  </si>
  <si>
    <t>LUMP_SUM_AMT</t>
  </si>
  <si>
    <t>CURR_MTH_PAYOUT_AMT</t>
  </si>
  <si>
    <t>ENDING_OPB_AT_TODAY</t>
  </si>
  <si>
    <t>TOTAL_FINAN_FEE</t>
  </si>
  <si>
    <t>CMV</t>
  </si>
  <si>
    <t>CURR_SPECIFIED_PROP_VALUE</t>
  </si>
  <si>
    <t>CURR_GROSS_MORT_RATE</t>
  </si>
  <si>
    <t>INT_RATE_OPTION</t>
  </si>
  <si>
    <t>UNFRONT_PREM_RATE</t>
  </si>
  <si>
    <t>MTH_PREM_RATE</t>
  </si>
  <si>
    <t>REINSURER_CODE</t>
  </si>
  <si>
    <t>RISK_RETENTION_PERC</t>
  </si>
  <si>
    <t>HMML</t>
  </si>
  <si>
    <t>UPFRONT_PREM_AMT</t>
  </si>
  <si>
    <t>UPD_USER</t>
  </si>
  <si>
    <t>UPD_DT</t>
  </si>
  <si>
    <t>IFRS_INTF_USER</t>
  </si>
  <si>
    <t>Y</t>
  </si>
  <si>
    <t>N</t>
  </si>
  <si>
    <t>FX</t>
  </si>
  <si>
    <t>FL</t>
  </si>
  <si>
    <t>PR</t>
  </si>
  <si>
    <t>M</t>
  </si>
  <si>
    <t>F</t>
  </si>
  <si>
    <t>FF</t>
  </si>
  <si>
    <t>MF</t>
  </si>
  <si>
    <t>RM00006666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</si>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</sst>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43" fontId="0" fillId="0" borderId="0" xfId="1" applyFont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3338-42D6-4CF7-AEB9-F025E0C02DC6}">
  <sheetPr codeName="Sheet1"/>
  <dimension ref="A1:Z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26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5">
      <c r="A2" t="s">
        <v>36</v>
      </c>
      <c r="B2">
        <v>20240110</v>
      </c>
      <c r="C2">
        <v>67.311000000000007</v>
      </c>
      <c r="F2" t="s">
        <v>32</v>
      </c>
      <c r="G2">
        <v>10</v>
      </c>
      <c r="H2">
        <v>300</v>
      </c>
      <c r="I2" t="s">
        <v>31</v>
      </c>
      <c r="J2">
        <v>-2.5</v>
      </c>
      <c r="K2">
        <v>900000</v>
      </c>
      <c r="L2">
        <v>4340.75</v>
      </c>
      <c r="M2">
        <v>915531.28</v>
      </c>
      <c r="N2">
        <v>8100</v>
      </c>
      <c r="O2">
        <v>2820000</v>
      </c>
      <c r="P2">
        <v>2820000</v>
      </c>
      <c r="Q2">
        <v>4</v>
      </c>
      <c r="R2" t="s">
        <v>29</v>
      </c>
      <c r="S2">
        <v>0.28000000000000003</v>
      </c>
      <c r="T2">
        <v>1.25</v>
      </c>
      <c r="W2" t="s">
        <v>27</v>
      </c>
      <c r="X2">
        <v>55272</v>
      </c>
      <c r="Y2" t="s">
        <v>26</v>
      </c>
      <c r="Z2" s="1">
        <v>45325</v>
      </c>
    </row>
    <row r="3" spans="1:26" x14ac:dyDescent="0.35">
      <c r="A3" t="str">
        <f ca="1">"RM0000"&amp;RANDBETWEEN(1000,9999)</f>
        <v>RM00008358</v>
      </c>
      <c r="B3" t="str">
        <f ca="1">TEXT(RANDBETWEEN(2023,2024),"0000") &amp; TEXT(RANDBETWEEN(1,12),"00") &amp; TEXT(RANDBETWEEN(1,28),"00")</f>
        <v>20240616</v>
      </c>
      <c r="C3" s="2">
        <f ca="1">RANDBETWEEN(3000,10000)/100</f>
        <v>68.64</v>
      </c>
      <c r="F3" t="s">
        <v>33</v>
      </c>
      <c r="M3">
        <v>19599.3</v>
      </c>
      <c r="N3">
        <v>0</v>
      </c>
      <c r="Q3">
        <v>3.625</v>
      </c>
      <c r="R3" t="s">
        <v>30</v>
      </c>
      <c r="W3" t="s">
        <v>28</v>
      </c>
    </row>
    <row r="4" spans="1:26" x14ac:dyDescent="0.35">
      <c r="A4" t="str">
        <f ca="1">"RM0000"&amp;RANDBETWEEN(1000,9999)</f>
        <v>RM00002430</v>
      </c>
      <c r="B4" t="str">
        <f ca="1">TEXT(RANDBETWEEN(2023,2024),"0000") &amp; TEXT(RANDBETWEEN(1,12),"00") &amp; TEXT(RANDBETWEEN(1,28),"00")</f>
        <v>20231201</v>
      </c>
      <c r="C4" s="2">
        <f t="shared" ref="C4:C10" ca="1" si="0">RANDBETWEEN(3000,10000)/100</f>
        <v>34.47</v>
      </c>
      <c r="F4" t="s">
        <v>34</v>
      </c>
    </row>
    <row r="5" spans="1:26" x14ac:dyDescent="0.35">
      <c r="A5" t="str">
        <f t="shared" ref="A5:A11" ca="1" si="1">"RM0000"&amp;RANDBETWEEN(1000,9999)</f>
        <v>RM00006284</v>
      </c>
      <c r="B5" t="str">
        <f t="shared" ref="B5:B11" ca="1" si="2">TEXT(RANDBETWEEN(2023,2024),"0000") &amp; TEXT(RANDBETWEEN(1,12),"00") &amp; TEXT(RANDBETWEEN(1,28),"00")</f>
        <v>20230515</v>
      </c>
      <c r="C5" s="2">
        <f t="shared" ca="1" si="0"/>
        <v>47.27</v>
      </c>
      <c r="F5" t="s">
        <v>35</v>
      </c>
    </row>
    <row r="6" spans="1:26" x14ac:dyDescent="0.35">
      <c r="A6" t="str">
        <f t="shared" ca="1" si="1"/>
        <v>RM00001697</v>
      </c>
      <c r="B6" t="str">
        <f t="shared" ca="1" si="2"/>
        <v>20230923</v>
      </c>
      <c r="C6" s="2">
        <f t="shared" ca="1" si="0"/>
        <v>40.33</v>
      </c>
    </row>
    <row r="7" spans="1:26" x14ac:dyDescent="0.35">
      <c r="A7" t="str">
        <f t="shared" ca="1" si="1"/>
        <v>RM00005585</v>
      </c>
      <c r="B7" t="str">
        <f t="shared" ca="1" si="2"/>
        <v>20230828</v>
      </c>
      <c r="C7" s="2">
        <f t="shared" ca="1" si="0"/>
        <v>63.71</v>
      </c>
    </row>
    <row r="8" spans="1:26" x14ac:dyDescent="0.35">
      <c r="A8" t="str">
        <f t="shared" ca="1" si="1"/>
        <v>RM00002277</v>
      </c>
      <c r="B8" t="str">
        <f t="shared" ca="1" si="2"/>
        <v>20240822</v>
      </c>
      <c r="C8" s="2">
        <f t="shared" ca="1" si="0"/>
        <v>69.069999999999993</v>
      </c>
    </row>
    <row r="9" spans="1:26" x14ac:dyDescent="0.35">
      <c r="A9" t="str">
        <f t="shared" ca="1" si="1"/>
        <v>RM00003299</v>
      </c>
      <c r="B9" t="str">
        <f t="shared" ca="1" si="2"/>
        <v>20230727</v>
      </c>
      <c r="C9" s="2">
        <f t="shared" ca="1" si="0"/>
        <v>68.17</v>
      </c>
    </row>
    <row r="10" spans="1:26" x14ac:dyDescent="0.35">
      <c r="A10" t="str">
        <f t="shared" ca="1" si="1"/>
        <v>RM00001670</v>
      </c>
      <c r="B10" t="str">
        <f t="shared" ca="1" si="2"/>
        <v>20231016</v>
      </c>
      <c r="C10" s="2">
        <f t="shared" ca="1" si="0"/>
        <v>37.01</v>
      </c>
    </row>
    <row r="11" spans="1:26" x14ac:dyDescent="0.35">
      <c r="A11" t="str">
        <f t="shared" ca="1" si="1"/>
        <v>RM00006601</v>
      </c>
      <c r="B11" t="str">
        <f t="shared" ca="1" si="2"/>
        <v>20230807</v>
      </c>
      <c r="C11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FC HKMC IP</dc:creator>
  <cp:lastModifiedBy>Victor FC HKMC IP</cp:lastModifiedBy>
  <dcterms:created xsi:type="dcterms:W3CDTF">2026-01-02T08:06:09Z</dcterms:created>
  <dcterms:modified xsi:type="dcterms:W3CDTF">2026-01-02T09:11:27Z</dcterms:modified>
</cp:coreProperties>
</file>